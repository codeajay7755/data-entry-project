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13_ncr:1_{8F96A471-75A0-4C5D-BC20-BDECB8AF1EFD}" xr6:coauthVersionLast="47" xr6:coauthVersionMax="47" xr10:uidLastSave="{00000000-0000-0000-0000-000000000000}"/>
  <bookViews>
    <workbookView xWindow="-120" yWindow="-120" windowWidth="20730" windowHeight="11310" xr2:uid="{B099540F-2038-44EF-958B-D716A22D1A26}"/>
  </bookViews>
  <sheets>
    <sheet name="Form" sheetId="1" r:id="rId1"/>
    <sheet name="Databas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5" i="1" l="1"/>
  <c r="D34" i="1"/>
  <c r="D33" i="1"/>
  <c r="D32" i="1"/>
  <c r="D31" i="1"/>
  <c r="D30" i="1"/>
  <c r="D29" i="1"/>
  <c r="D28" i="1"/>
  <c r="D27" i="1"/>
  <c r="D26" i="1"/>
  <c r="D25" i="1"/>
  <c r="G15" i="1"/>
  <c r="D36" i="1" s="1"/>
</calcChain>
</file>

<file path=xl/sharedStrings.xml><?xml version="1.0" encoding="utf-8"?>
<sst xmlns="http://schemas.openxmlformats.org/spreadsheetml/2006/main" count="81" uniqueCount="44">
  <si>
    <t>Employee Data Form</t>
  </si>
  <si>
    <t>Employee Name</t>
  </si>
  <si>
    <t xml:space="preserve">Employee  Code </t>
  </si>
  <si>
    <t>Email ID</t>
  </si>
  <si>
    <t>Date of Birth</t>
  </si>
  <si>
    <t>Department</t>
  </si>
  <si>
    <t>Location</t>
  </si>
  <si>
    <t xml:space="preserve">Basic Salary </t>
  </si>
  <si>
    <t>HRA</t>
  </si>
  <si>
    <t>Medical</t>
  </si>
  <si>
    <t>Conveyance</t>
  </si>
  <si>
    <t>Deducations</t>
  </si>
  <si>
    <t>Net Pay</t>
  </si>
  <si>
    <t>Admin</t>
  </si>
  <si>
    <t>John</t>
  </si>
  <si>
    <t>xyp3384</t>
  </si>
  <si>
    <t>john@gamil.com</t>
  </si>
  <si>
    <t>Office</t>
  </si>
  <si>
    <t>Nick</t>
  </si>
  <si>
    <t>wwt2353</t>
  </si>
  <si>
    <t>nick@gamil.com</t>
  </si>
  <si>
    <t>24-12-1992</t>
  </si>
  <si>
    <t>Accounts</t>
  </si>
  <si>
    <t>Site</t>
  </si>
  <si>
    <t>saroha@gamil.com</t>
  </si>
  <si>
    <t>ajay</t>
  </si>
  <si>
    <t>59594agg</t>
  </si>
  <si>
    <t>Nikesh</t>
  </si>
  <si>
    <t>eio3939</t>
  </si>
  <si>
    <t>kjoijjofoj</t>
  </si>
  <si>
    <t>kjoijjofoj@gmail.com</t>
  </si>
  <si>
    <t>Anoop</t>
  </si>
  <si>
    <t>3838akjduh</t>
  </si>
  <si>
    <t xml:space="preserve">anoop </t>
  </si>
  <si>
    <t>udi9ehfn</t>
  </si>
  <si>
    <t>Tannu</t>
  </si>
  <si>
    <t>9328783b</t>
  </si>
  <si>
    <t>tannu@gamil.com</t>
  </si>
  <si>
    <t>kala</t>
  </si>
  <si>
    <t>ka9448</t>
  </si>
  <si>
    <t>kala@gamil.com</t>
  </si>
  <si>
    <t>Akshay</t>
  </si>
  <si>
    <t>hjhj@gmail.com</t>
  </si>
  <si>
    <t>H.R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</si>
</sst>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009]dd\-mm\-yyyy;@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0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0" tint="-0.34998626667073579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8"/>
      <color rgb="FF000000"/>
      <name val="Segoe UI"/>
      <family val="2"/>
    </font>
    <font>
      <b/>
      <sz val="14"/>
      <color rgb="FF00000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1" xfId="0" applyBorder="1"/>
    <xf numFmtId="0" fontId="0" fillId="0" borderId="0" xfId="0" applyBorder="1"/>
    <xf numFmtId="0" fontId="0" fillId="2" borderId="2" xfId="0" applyFill="1" applyBorder="1"/>
    <xf numFmtId="0" fontId="0" fillId="2" borderId="4" xfId="0" applyFill="1" applyBorder="1"/>
    <xf numFmtId="0" fontId="0" fillId="4" borderId="0" xfId="0" applyFill="1"/>
    <xf numFmtId="0" fontId="0" fillId="5" borderId="5" xfId="0" applyFill="1" applyBorder="1"/>
    <xf numFmtId="0" fontId="0" fillId="5" borderId="0" xfId="0" applyFill="1" applyBorder="1"/>
    <xf numFmtId="0" fontId="1" fillId="5" borderId="0" xfId="0" applyFont="1" applyFill="1" applyBorder="1"/>
    <xf numFmtId="0" fontId="0" fillId="5" borderId="6" xfId="0" applyFill="1" applyBorder="1"/>
    <xf numFmtId="0" fontId="4" fillId="4" borderId="0" xfId="0" applyFont="1" applyFill="1"/>
    <xf numFmtId="0" fontId="5" fillId="6" borderId="1" xfId="0" applyFont="1" applyFill="1" applyBorder="1"/>
    <xf numFmtId="164" fontId="5" fillId="6" borderId="1" xfId="0" applyNumberFormat="1" applyFont="1" applyFill="1" applyBorder="1"/>
    <xf numFmtId="164" fontId="0" fillId="0" borderId="1" xfId="0" applyNumberFormat="1" applyBorder="1"/>
    <xf numFmtId="3" fontId="5" fillId="6" borderId="1" xfId="0" applyNumberFormat="1" applyFont="1" applyFill="1" applyBorder="1"/>
    <xf numFmtId="3" fontId="0" fillId="0" borderId="1" xfId="0" applyNumberFormat="1" applyBorder="1"/>
    <xf numFmtId="164" fontId="4" fillId="4" borderId="0" xfId="0" applyNumberFormat="1" applyFont="1" applyFill="1"/>
    <xf numFmtId="3" fontId="4" fillId="4" borderId="0" xfId="0" applyNumberFormat="1" applyFont="1" applyFill="1"/>
    <xf numFmtId="0" fontId="0" fillId="5" borderId="0" xfId="0" applyFill="1" applyBorder="1" applyProtection="1"/>
    <xf numFmtId="0" fontId="0" fillId="4" borderId="0" xfId="0" applyFill="1" applyProtection="1">
      <protection locked="0"/>
    </xf>
    <xf numFmtId="0" fontId="0" fillId="3" borderId="1" xfId="0" applyFill="1" applyBorder="1" applyProtection="1">
      <protection locked="0"/>
    </xf>
    <xf numFmtId="0" fontId="3" fillId="3" borderId="1" xfId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3" fontId="0" fillId="3" borderId="1" xfId="0" applyNumberFormat="1" applyFill="1" applyBorder="1" applyProtection="1">
      <protection locked="0"/>
    </xf>
    <xf numFmtId="0" fontId="4" fillId="4" borderId="0" xfId="0" applyFont="1" applyFill="1" applyProtection="1">
      <protection locked="0"/>
    </xf>
    <xf numFmtId="0" fontId="2" fillId="2" borderId="3" xfId="0" applyFont="1" applyFill="1" applyBorder="1" applyAlignment="1">
      <alignment horizontal="center"/>
    </xf>
    <xf numFmtId="11" fontId="0" fillId="3" borderId="1" xfId="0" applyNumberFormat="1" applyFill="1" applyBorder="1" applyProtection="1"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fmlaLink="$E$30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180975</xdr:rowOff>
        </xdr:from>
        <xdr:to>
          <xdr:col>3</xdr:col>
          <xdr:colOff>666750</xdr:colOff>
          <xdr:row>15</xdr:row>
          <xdr:rowOff>9525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13</xdr:row>
          <xdr:rowOff>180975</xdr:rowOff>
        </xdr:from>
        <xdr:to>
          <xdr:col>3</xdr:col>
          <xdr:colOff>1343025</xdr:colOff>
          <xdr:row>15</xdr:row>
          <xdr:rowOff>19050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Office</a:t>
              </a:r>
            </a:p>
          </xdr:txBody>
        </xdr:sp>
        <xdr:clientData/>
      </xdr:twoCellAnchor>
    </mc:Choice>
    <mc:Fallback/>
  </mc:AlternateContent>
  <xdr:twoCellAnchor editAs="oneCell">
    <xdr:from>
      <xdr:col>6</xdr:col>
      <xdr:colOff>1657350</xdr:colOff>
      <xdr:row>1</xdr:row>
      <xdr:rowOff>180976</xdr:rowOff>
    </xdr:from>
    <xdr:to>
      <xdr:col>8</xdr:col>
      <xdr:colOff>30163</xdr:colOff>
      <xdr:row>3</xdr:row>
      <xdr:rowOff>19051</xdr:rowOff>
    </xdr:to>
    <xdr:pic>
      <xdr:nvPicPr>
        <xdr:cNvPr id="3" name="Graphic 2" descr="Database with solid fill">
          <a:extLst>
            <a:ext uri="{FF2B5EF4-FFF2-40B4-BE49-F238E27FC236}">
              <a16:creationId xmlns:a16="http://schemas.microsoft.com/office/drawing/2014/main" id="{C276569C-9F21-47AC-CE1B-1C643DD522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371476"/>
          <a:ext cx="392113" cy="361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16</xdr:row>
          <xdr:rowOff>28575</xdr:rowOff>
        </xdr:from>
        <xdr:to>
          <xdr:col>5</xdr:col>
          <xdr:colOff>333375</xdr:colOff>
          <xdr:row>18</xdr:row>
          <xdr:rowOff>38100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Narrow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21AF3-15D5-4FA9-962C-9B75010D5A64}">
  <sheetPr codeName="Sheet1"/>
  <dimension ref="A1:Q96"/>
  <sheetViews>
    <sheetView showGridLines="0" tabSelected="1" workbookViewId="0">
      <selection activeCell="G13" sqref="G13"/>
    </sheetView>
  </sheetViews>
  <sheetFormatPr defaultRowHeight="15" x14ac:dyDescent="0.25"/>
  <cols>
    <col min="1" max="1" width="17.140625" customWidth="1"/>
    <col min="2" max="2" width="1.7109375" customWidth="1"/>
    <col min="3" max="3" width="19.28515625" bestFit="1" customWidth="1"/>
    <col min="4" max="4" width="20.28515625" customWidth="1"/>
    <col min="6" max="6" width="12.140625" bestFit="1" customWidth="1"/>
    <col min="7" max="7" width="28.85546875" customWidth="1"/>
    <col min="8" max="8" width="1.42578125" customWidth="1"/>
  </cols>
  <sheetData>
    <row r="1" spans="1:17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ht="26.25" x14ac:dyDescent="0.4">
      <c r="A3" s="5"/>
      <c r="B3" s="3"/>
      <c r="C3" s="25" t="s">
        <v>0</v>
      </c>
      <c r="D3" s="25"/>
      <c r="E3" s="25"/>
      <c r="F3" s="25"/>
      <c r="G3" s="25"/>
      <c r="H3" s="4"/>
      <c r="I3" s="5"/>
      <c r="J3" s="5"/>
      <c r="K3" s="5"/>
      <c r="L3" s="5"/>
      <c r="M3" s="5"/>
      <c r="N3" s="5"/>
      <c r="O3" s="5"/>
      <c r="P3" s="5"/>
      <c r="Q3" s="5"/>
    </row>
    <row r="4" spans="1:17" x14ac:dyDescent="0.25">
      <c r="A4" s="5"/>
      <c r="B4" s="6"/>
      <c r="C4" s="7"/>
      <c r="D4" s="7"/>
      <c r="E4" s="7"/>
      <c r="F4" s="7"/>
      <c r="G4" s="7"/>
      <c r="H4" s="7"/>
      <c r="I4" s="5"/>
      <c r="J4" s="5"/>
      <c r="K4" s="5"/>
      <c r="L4" s="5"/>
      <c r="M4" s="5"/>
      <c r="N4" s="5"/>
      <c r="O4" s="5"/>
      <c r="P4" s="5"/>
      <c r="Q4" s="5"/>
    </row>
    <row r="5" spans="1:17" x14ac:dyDescent="0.25">
      <c r="A5" s="5"/>
      <c r="B5" s="6"/>
      <c r="C5" s="8" t="s">
        <v>1</v>
      </c>
      <c r="D5" s="20" t="s">
        <v>41</v>
      </c>
      <c r="E5" s="7"/>
      <c r="F5" s="8" t="s">
        <v>7</v>
      </c>
      <c r="G5" s="23">
        <v>50000</v>
      </c>
      <c r="H5" s="7"/>
      <c r="I5" s="5"/>
      <c r="J5" s="19"/>
      <c r="K5" s="5"/>
      <c r="L5" s="5"/>
      <c r="M5" s="5"/>
      <c r="N5" s="5"/>
      <c r="O5" s="5"/>
      <c r="P5" s="5"/>
      <c r="Q5" s="5"/>
    </row>
    <row r="6" spans="1:17" x14ac:dyDescent="0.25">
      <c r="A6" s="5"/>
      <c r="B6" s="6"/>
      <c r="C6" s="7"/>
      <c r="D6" s="7"/>
      <c r="E6" s="7"/>
      <c r="F6" s="8"/>
      <c r="G6" s="7"/>
      <c r="H6" s="7"/>
      <c r="I6" s="5"/>
      <c r="J6" s="5"/>
      <c r="K6" s="5"/>
      <c r="L6" s="5"/>
      <c r="M6" s="5"/>
      <c r="N6" s="5"/>
      <c r="O6" s="5"/>
      <c r="P6" s="5"/>
      <c r="Q6" s="5"/>
    </row>
    <row r="7" spans="1:17" x14ac:dyDescent="0.25">
      <c r="A7" s="5"/>
      <c r="B7" s="6"/>
      <c r="C7" s="8" t="s">
        <v>2</v>
      </c>
      <c r="D7" s="26">
        <v>3.3890000000000002E+96</v>
      </c>
      <c r="E7" s="7"/>
      <c r="F7" s="8" t="s">
        <v>8</v>
      </c>
      <c r="G7" s="23">
        <v>6000</v>
      </c>
      <c r="H7" s="7"/>
      <c r="I7" s="5"/>
      <c r="J7" s="5"/>
      <c r="K7" s="5"/>
      <c r="L7" s="5"/>
      <c r="M7" s="5"/>
      <c r="N7" s="5"/>
      <c r="O7" s="5"/>
      <c r="P7" s="5"/>
      <c r="Q7" s="5"/>
    </row>
    <row r="8" spans="1:17" x14ac:dyDescent="0.25">
      <c r="A8" s="5"/>
      <c r="B8" s="6"/>
      <c r="C8" s="7"/>
      <c r="D8" s="7"/>
      <c r="E8" s="7"/>
      <c r="F8" s="8"/>
      <c r="G8" s="7"/>
      <c r="H8" s="7"/>
      <c r="I8" s="5"/>
      <c r="J8" s="5"/>
      <c r="K8" s="5"/>
      <c r="L8" s="5"/>
      <c r="M8" s="5"/>
      <c r="N8" s="5"/>
      <c r="O8" s="5"/>
      <c r="P8" s="5"/>
      <c r="Q8" s="5"/>
    </row>
    <row r="9" spans="1:17" x14ac:dyDescent="0.25">
      <c r="A9" s="5"/>
      <c r="B9" s="6"/>
      <c r="C9" s="8" t="s">
        <v>3</v>
      </c>
      <c r="D9" s="21" t="s">
        <v>42</v>
      </c>
      <c r="E9" s="7"/>
      <c r="F9" s="8" t="s">
        <v>9</v>
      </c>
      <c r="G9" s="23">
        <v>12000</v>
      </c>
      <c r="H9" s="7"/>
      <c r="I9" s="5"/>
      <c r="J9" s="5"/>
      <c r="K9" s="5"/>
      <c r="L9" s="5"/>
      <c r="M9" s="5"/>
      <c r="N9" s="5"/>
      <c r="O9" s="5"/>
      <c r="P9" s="5"/>
      <c r="Q9" s="5"/>
    </row>
    <row r="10" spans="1:17" x14ac:dyDescent="0.25">
      <c r="A10" s="5"/>
      <c r="B10" s="6"/>
      <c r="C10" s="8"/>
      <c r="D10" s="7"/>
      <c r="E10" s="7"/>
      <c r="F10" s="8"/>
      <c r="G10" s="18"/>
      <c r="H10" s="7"/>
      <c r="I10" s="5"/>
      <c r="J10" s="5"/>
      <c r="K10" s="5"/>
      <c r="L10" s="5"/>
      <c r="M10" s="5"/>
      <c r="N10" s="5"/>
      <c r="O10" s="5"/>
      <c r="P10" s="5"/>
      <c r="Q10" s="5"/>
    </row>
    <row r="11" spans="1:17" x14ac:dyDescent="0.25">
      <c r="A11" s="5"/>
      <c r="B11" s="6"/>
      <c r="C11" s="8" t="s">
        <v>4</v>
      </c>
      <c r="D11" s="22">
        <v>32975</v>
      </c>
      <c r="E11" s="7"/>
      <c r="F11" s="8" t="s">
        <v>10</v>
      </c>
      <c r="G11" s="23">
        <v>2100</v>
      </c>
      <c r="H11" s="7"/>
      <c r="I11" s="5"/>
      <c r="J11" s="5"/>
      <c r="K11" s="5"/>
      <c r="L11" s="5"/>
      <c r="M11" s="5"/>
      <c r="N11" s="5"/>
      <c r="O11" s="5"/>
      <c r="P11" s="5"/>
      <c r="Q11" s="5"/>
    </row>
    <row r="12" spans="1:17" x14ac:dyDescent="0.25">
      <c r="A12" s="5"/>
      <c r="B12" s="6"/>
      <c r="C12" s="8"/>
      <c r="D12" s="7"/>
      <c r="E12" s="7"/>
      <c r="F12" s="8"/>
      <c r="G12" s="7"/>
      <c r="H12" s="7"/>
      <c r="I12" s="5"/>
      <c r="J12" s="5"/>
      <c r="K12" s="5"/>
      <c r="L12" s="5"/>
      <c r="M12" s="5"/>
      <c r="N12" s="5"/>
      <c r="O12" s="5"/>
      <c r="P12" s="5"/>
      <c r="Q12" s="5"/>
    </row>
    <row r="13" spans="1:17" x14ac:dyDescent="0.25">
      <c r="A13" s="5"/>
      <c r="B13" s="6"/>
      <c r="C13" s="8" t="s">
        <v>5</v>
      </c>
      <c r="D13" s="20" t="s">
        <v>43</v>
      </c>
      <c r="E13" s="7"/>
      <c r="F13" s="8" t="s">
        <v>11</v>
      </c>
      <c r="G13" s="23">
        <v>15000</v>
      </c>
      <c r="H13" s="7"/>
      <c r="I13" s="5"/>
      <c r="J13" s="5"/>
      <c r="K13" s="5"/>
      <c r="L13" s="5"/>
      <c r="M13" s="5"/>
      <c r="N13" s="5"/>
      <c r="O13" s="5"/>
      <c r="P13" s="5"/>
      <c r="Q13" s="5"/>
    </row>
    <row r="14" spans="1:17" x14ac:dyDescent="0.25">
      <c r="A14" s="5"/>
      <c r="B14" s="6"/>
      <c r="C14" s="8"/>
      <c r="D14" s="7"/>
      <c r="E14" s="7"/>
      <c r="F14" s="8"/>
      <c r="G14" s="7"/>
      <c r="H14" s="7"/>
      <c r="I14" s="5"/>
      <c r="J14" s="5"/>
      <c r="K14" s="5"/>
      <c r="L14" s="5"/>
      <c r="M14" s="5"/>
      <c r="N14" s="5"/>
      <c r="O14" s="5"/>
      <c r="P14" s="5"/>
      <c r="Q14" s="5"/>
    </row>
    <row r="15" spans="1:17" x14ac:dyDescent="0.25">
      <c r="A15" s="5"/>
      <c r="B15" s="6"/>
      <c r="C15" s="8" t="s">
        <v>6</v>
      </c>
      <c r="D15" s="2"/>
      <c r="E15" s="7"/>
      <c r="F15" s="8" t="s">
        <v>12</v>
      </c>
      <c r="G15" s="23">
        <f>G5+G7+G9+G11-G13</f>
        <v>55100</v>
      </c>
      <c r="H15" s="7"/>
      <c r="I15" s="5"/>
      <c r="J15" s="5"/>
      <c r="K15" s="5"/>
      <c r="L15" s="5"/>
      <c r="M15" s="5"/>
      <c r="N15" s="5"/>
      <c r="O15" s="5"/>
      <c r="P15" s="5"/>
      <c r="Q15" s="5"/>
    </row>
    <row r="16" spans="1:17" x14ac:dyDescent="0.25">
      <c r="A16" s="5"/>
      <c r="B16" s="6"/>
      <c r="C16" s="7"/>
      <c r="D16" s="7"/>
      <c r="E16" s="7"/>
      <c r="F16" s="7"/>
      <c r="G16" s="7"/>
      <c r="H16" s="7"/>
      <c r="I16" s="5"/>
      <c r="J16" s="5"/>
      <c r="K16" s="5"/>
      <c r="L16" s="5"/>
      <c r="M16" s="5"/>
      <c r="N16" s="5"/>
      <c r="O16" s="5"/>
      <c r="P16" s="5"/>
      <c r="Q16" s="5"/>
    </row>
    <row r="17" spans="1:17" x14ac:dyDescent="0.25">
      <c r="A17" s="5"/>
      <c r="B17" s="6"/>
      <c r="C17" s="7"/>
      <c r="D17" s="7"/>
      <c r="E17" s="7"/>
      <c r="F17" s="7"/>
      <c r="G17" s="7"/>
      <c r="H17" s="7"/>
      <c r="I17" s="5"/>
      <c r="J17" s="5"/>
      <c r="K17" s="5"/>
      <c r="L17" s="5"/>
      <c r="M17" s="5"/>
      <c r="N17" s="5"/>
      <c r="O17" s="5"/>
      <c r="P17" s="5"/>
      <c r="Q17" s="5"/>
    </row>
    <row r="18" spans="1:17" x14ac:dyDescent="0.25">
      <c r="A18" s="5"/>
      <c r="B18" s="6"/>
      <c r="C18" s="7"/>
      <c r="D18" s="7"/>
      <c r="E18" s="7"/>
      <c r="F18" s="7"/>
      <c r="G18" s="7"/>
      <c r="H18" s="7"/>
      <c r="I18" s="5"/>
      <c r="J18" s="5"/>
      <c r="K18" s="5"/>
      <c r="L18" s="5"/>
      <c r="M18" s="5"/>
      <c r="N18" s="5"/>
      <c r="O18" s="5"/>
      <c r="P18" s="5"/>
      <c r="Q18" s="5"/>
    </row>
    <row r="19" spans="1:17" x14ac:dyDescent="0.25">
      <c r="A19" s="5"/>
      <c r="B19" s="9"/>
      <c r="C19" s="7"/>
      <c r="D19" s="7"/>
      <c r="E19" s="7"/>
      <c r="F19" s="7"/>
      <c r="G19" s="7"/>
      <c r="H19" s="7"/>
      <c r="I19" s="5"/>
      <c r="J19" s="5"/>
      <c r="K19" s="5"/>
      <c r="L19" s="5"/>
      <c r="M19" s="5"/>
      <c r="N19" s="5"/>
      <c r="O19" s="5"/>
      <c r="P19" s="5"/>
      <c r="Q19" s="5"/>
    </row>
    <row r="20" spans="1:17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x14ac:dyDescent="0.25">
      <c r="A25" s="5"/>
      <c r="B25" s="5"/>
      <c r="C25" s="10" t="s">
        <v>1</v>
      </c>
      <c r="D25" s="10" t="str">
        <f>D5</f>
        <v>Akshay</v>
      </c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x14ac:dyDescent="0.25">
      <c r="A26" s="5"/>
      <c r="B26" s="5"/>
      <c r="C26" s="10" t="s">
        <v>2</v>
      </c>
      <c r="D26" s="10">
        <f>D7</f>
        <v>3.3890000000000002E+96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x14ac:dyDescent="0.25">
      <c r="A27" s="5"/>
      <c r="B27" s="5"/>
      <c r="C27" s="10" t="s">
        <v>3</v>
      </c>
      <c r="D27" s="10" t="str">
        <f>D9</f>
        <v>hjhj@gmail.com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x14ac:dyDescent="0.25">
      <c r="A28" s="5"/>
      <c r="B28" s="5"/>
      <c r="C28" s="10" t="s">
        <v>4</v>
      </c>
      <c r="D28" s="16">
        <f>D11</f>
        <v>32975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x14ac:dyDescent="0.25">
      <c r="A29" s="5"/>
      <c r="B29" s="5"/>
      <c r="C29" s="10" t="s">
        <v>5</v>
      </c>
      <c r="D29" s="10" t="str">
        <f>D13</f>
        <v>H.R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x14ac:dyDescent="0.25">
      <c r="A30" s="5"/>
      <c r="B30" s="5"/>
      <c r="C30" s="10" t="s">
        <v>6</v>
      </c>
      <c r="D30" s="10" t="str">
        <f>IF(E30=1,"Site","Office")</f>
        <v>Site</v>
      </c>
      <c r="E30" s="24">
        <v>1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x14ac:dyDescent="0.25">
      <c r="A31" s="5"/>
      <c r="B31" s="5"/>
      <c r="C31" s="10" t="s">
        <v>7</v>
      </c>
      <c r="D31" s="17">
        <f>G5</f>
        <v>50000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x14ac:dyDescent="0.25">
      <c r="A32" s="5"/>
      <c r="B32" s="5"/>
      <c r="C32" s="10" t="s">
        <v>8</v>
      </c>
      <c r="D32" s="17">
        <f>G7</f>
        <v>6000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x14ac:dyDescent="0.25">
      <c r="A33" s="5"/>
      <c r="B33" s="5"/>
      <c r="C33" s="10" t="s">
        <v>9</v>
      </c>
      <c r="D33" s="17">
        <f>G9</f>
        <v>12000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x14ac:dyDescent="0.25">
      <c r="A34" s="5"/>
      <c r="B34" s="5"/>
      <c r="C34" s="10" t="s">
        <v>10</v>
      </c>
      <c r="D34" s="17">
        <f>G11</f>
        <v>2100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x14ac:dyDescent="0.25">
      <c r="A35" s="5"/>
      <c r="B35" s="5"/>
      <c r="C35" s="10" t="s">
        <v>11</v>
      </c>
      <c r="D35" s="17">
        <f>G13</f>
        <v>15000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x14ac:dyDescent="0.25">
      <c r="A36" s="5"/>
      <c r="B36" s="5"/>
      <c r="C36" s="10" t="s">
        <v>12</v>
      </c>
      <c r="D36" s="17">
        <f>G15</f>
        <v>55100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</row>
    <row r="39" spans="1:17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</row>
    <row r="40" spans="1:17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1:17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</row>
    <row r="42" spans="1:17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</row>
    <row r="43" spans="1:17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</row>
    <row r="44" spans="1:17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</row>
    <row r="45" spans="1:17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</row>
    <row r="46" spans="1:17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</row>
    <row r="47" spans="1:17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</row>
    <row r="48" spans="1:17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</row>
    <row r="49" spans="1:14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</row>
    <row r="50" spans="1:14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</row>
    <row r="51" spans="1:14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</row>
    <row r="52" spans="1:14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</row>
    <row r="53" spans="1:14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</row>
    <row r="54" spans="1:14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</row>
    <row r="55" spans="1:14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</row>
    <row r="56" spans="1:14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</row>
    <row r="57" spans="1:14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</row>
    <row r="58" spans="1:14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</row>
    <row r="59" spans="1:14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</row>
    <row r="60" spans="1:14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</row>
    <row r="61" spans="1:14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</row>
    <row r="62" spans="1:14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</row>
    <row r="63" spans="1:14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</row>
    <row r="64" spans="1:14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</row>
    <row r="65" spans="1:14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</row>
    <row r="66" spans="1:14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</row>
    <row r="67" spans="1:14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</row>
    <row r="68" spans="1:14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</row>
    <row r="69" spans="1:14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</row>
    <row r="70" spans="1:14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</row>
    <row r="71" spans="1:14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</row>
    <row r="72" spans="1:14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</row>
    <row r="73" spans="1:14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</row>
    <row r="74" spans="1:14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</row>
    <row r="75" spans="1:14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</row>
    <row r="76" spans="1:14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</row>
    <row r="77" spans="1:14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</row>
    <row r="78" spans="1:14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</row>
    <row r="79" spans="1:14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</row>
    <row r="80" spans="1:14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</row>
    <row r="81" spans="1:15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</row>
    <row r="82" spans="1:15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</row>
    <row r="83" spans="1:15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</row>
    <row r="84" spans="1:15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</row>
    <row r="85" spans="1:15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</row>
    <row r="86" spans="1:15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</row>
    <row r="87" spans="1:15" x14ac:dyDescent="0.25">
      <c r="A87" s="5"/>
      <c r="B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</row>
    <row r="88" spans="1:15" x14ac:dyDescent="0.25">
      <c r="A88" s="5"/>
      <c r="B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</row>
    <row r="89" spans="1:15" x14ac:dyDescent="0.25">
      <c r="A89" s="5"/>
      <c r="B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</row>
    <row r="90" spans="1:15" x14ac:dyDescent="0.25">
      <c r="A90" s="5"/>
      <c r="B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</row>
    <row r="91" spans="1:15" x14ac:dyDescent="0.25">
      <c r="A91" s="5"/>
      <c r="B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</row>
    <row r="92" spans="1:15" x14ac:dyDescent="0.25">
      <c r="A92" s="5"/>
      <c r="B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</row>
    <row r="93" spans="1:15" x14ac:dyDescent="0.25">
      <c r="A93" s="5"/>
      <c r="B93" s="5"/>
      <c r="D93" s="5"/>
      <c r="E93" s="5"/>
      <c r="F93" s="5"/>
      <c r="G93" s="5"/>
      <c r="H93" s="5"/>
      <c r="I93" s="5"/>
      <c r="J93" s="5"/>
      <c r="K93" s="5"/>
    </row>
    <row r="94" spans="1:15" x14ac:dyDescent="0.25">
      <c r="A94" s="5"/>
      <c r="B94" s="5"/>
      <c r="D94" s="5"/>
      <c r="E94" s="5"/>
      <c r="F94" s="5"/>
      <c r="G94" s="5"/>
      <c r="H94" s="5"/>
      <c r="I94" s="5"/>
      <c r="J94" s="5"/>
      <c r="K94" s="5"/>
    </row>
    <row r="95" spans="1:15" x14ac:dyDescent="0.25">
      <c r="A95" s="5"/>
      <c r="B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</row>
    <row r="96" spans="1:15" x14ac:dyDescent="0.25">
      <c r="A96" s="5"/>
      <c r="B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</row>
  </sheetData>
  <sheetProtection algorithmName="SHA-512" hashValue="D8X5bDulLskAYzWKVL6iK272FXriePQbluXSF0B2taTuAR4QeLdBE/FxsA1ijhi7H67NIrO52kS2lzkbbw5iQg==" saltValue="bktGnrcQlOq0cCHz04K0gg==" spinCount="100000" sheet="1" objects="1" scenarios="1"/>
  <mergeCells count="1">
    <mergeCell ref="C3:G3"/>
  </mergeCells>
  <dataValidations count="1">
    <dataValidation type="list" allowBlank="1" showInputMessage="1" showErrorMessage="1" sqref="D13" xr:uid="{2442ECF2-BABB-49AB-A72F-9E009A9B9541}">
      <formula1>"Technical,Admin,Accounts,H.R"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Option Button 3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180975</xdr:rowOff>
                  </from>
                  <to>
                    <xdr:col>3</xdr:col>
                    <xdr:colOff>666750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Option Button 4">
              <controlPr defaultSize="0" autoFill="0" autoLine="0" autoPict="0">
                <anchor moveWithCells="1">
                  <from>
                    <xdr:col>3</xdr:col>
                    <xdr:colOff>581025</xdr:colOff>
                    <xdr:row>13</xdr:row>
                    <xdr:rowOff>180975</xdr:rowOff>
                  </from>
                  <to>
                    <xdr:col>3</xdr:col>
                    <xdr:colOff>1343025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ollected_data">
                <anchor moveWithCells="1" sizeWithCells="1">
                  <from>
                    <xdr:col>3</xdr:col>
                    <xdr:colOff>1114425</xdr:colOff>
                    <xdr:row>16</xdr:row>
                    <xdr:rowOff>28575</xdr:rowOff>
                  </from>
                  <to>
                    <xdr:col>5</xdr:col>
                    <xdr:colOff>333375</xdr:colOff>
                    <xdr:row>18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3DF4E-00E4-41AD-B544-579E7A274FE2}">
  <sheetPr codeName="Sheet2"/>
  <dimension ref="A1:L10"/>
  <sheetViews>
    <sheetView workbookViewId="0">
      <pane ySplit="1" topLeftCell="A2" activePane="bottomLeft" state="frozen"/>
      <selection pane="bottomLeft" activeCell="C16" sqref="C16"/>
    </sheetView>
  </sheetViews>
  <sheetFormatPr defaultRowHeight="15" x14ac:dyDescent="0.25"/>
  <cols>
    <col min="1" max="1" width="19.7109375" style="1" bestFit="1" customWidth="1"/>
    <col min="2" max="2" width="20" style="1" bestFit="1" customWidth="1"/>
    <col min="3" max="3" width="18.7109375" style="1" bestFit="1" customWidth="1"/>
    <col min="4" max="4" width="16.28515625" style="13" customWidth="1"/>
    <col min="5" max="6" width="16.28515625" style="1" customWidth="1"/>
    <col min="7" max="12" width="16.28515625" style="15" customWidth="1"/>
  </cols>
  <sheetData>
    <row r="1" spans="1:12" ht="18.75" x14ac:dyDescent="0.3">
      <c r="A1" s="11" t="s">
        <v>1</v>
      </c>
      <c r="B1" s="11" t="s">
        <v>2</v>
      </c>
      <c r="C1" s="11" t="s">
        <v>3</v>
      </c>
      <c r="D1" s="12" t="s">
        <v>4</v>
      </c>
      <c r="E1" s="11" t="s">
        <v>5</v>
      </c>
      <c r="F1" s="11" t="s">
        <v>6</v>
      </c>
      <c r="G1" s="14" t="s">
        <v>7</v>
      </c>
      <c r="H1" s="14" t="s">
        <v>8</v>
      </c>
      <c r="I1" s="14" t="s">
        <v>9</v>
      </c>
      <c r="J1" s="14" t="s">
        <v>10</v>
      </c>
      <c r="K1" s="14" t="s">
        <v>11</v>
      </c>
      <c r="L1" s="14" t="s">
        <v>12</v>
      </c>
    </row>
    <row r="2" spans="1:12" x14ac:dyDescent="0.25">
      <c r="A2" s="1" t="s">
        <v>38</v>
      </c>
      <c r="B2" s="1" t="s">
        <v>39</v>
      </c>
      <c r="C2" s="1" t="s">
        <v>40</v>
      </c>
      <c r="D2" s="13">
        <v>38466</v>
      </c>
      <c r="E2" s="1" t="s">
        <v>22</v>
      </c>
      <c r="F2" s="1" t="s">
        <v>17</v>
      </c>
      <c r="G2" s="15">
        <v>700000</v>
      </c>
      <c r="H2" s="15">
        <v>89327</v>
      </c>
      <c r="I2" s="15">
        <v>9939</v>
      </c>
      <c r="J2" s="15">
        <v>69977</v>
      </c>
      <c r="K2" s="15">
        <v>183874</v>
      </c>
      <c r="L2" s="15">
        <v>685369</v>
      </c>
    </row>
    <row r="3" spans="1:12" x14ac:dyDescent="0.25">
      <c r="A3" s="1" t="s">
        <v>35</v>
      </c>
      <c r="B3" s="1" t="s">
        <v>36</v>
      </c>
      <c r="C3" s="1" t="s">
        <v>37</v>
      </c>
      <c r="D3" s="13">
        <v>38032</v>
      </c>
      <c r="E3" s="1" t="s">
        <v>13</v>
      </c>
      <c r="F3" s="1" t="s">
        <v>17</v>
      </c>
      <c r="G3" s="15">
        <v>50000</v>
      </c>
      <c r="H3" s="15">
        <v>4999</v>
      </c>
      <c r="I3" s="15">
        <v>38848</v>
      </c>
      <c r="J3" s="15">
        <v>37749</v>
      </c>
      <c r="K3" s="15">
        <v>36648</v>
      </c>
      <c r="L3" s="15">
        <v>94948</v>
      </c>
    </row>
    <row r="4" spans="1:12" x14ac:dyDescent="0.25">
      <c r="A4" s="1" t="s">
        <v>33</v>
      </c>
      <c r="B4" s="1" t="s">
        <v>34</v>
      </c>
      <c r="C4" s="1" t="s">
        <v>30</v>
      </c>
      <c r="D4" s="13">
        <v>37342</v>
      </c>
      <c r="E4" s="1" t="s">
        <v>22</v>
      </c>
      <c r="F4" s="1" t="s">
        <v>23</v>
      </c>
      <c r="G4" s="15">
        <v>749998</v>
      </c>
      <c r="H4" s="15">
        <v>8479</v>
      </c>
      <c r="I4" s="15">
        <v>3487</v>
      </c>
      <c r="J4" s="15">
        <v>3487</v>
      </c>
      <c r="K4" s="15">
        <v>9374</v>
      </c>
      <c r="L4" s="15">
        <v>756077</v>
      </c>
    </row>
    <row r="5" spans="1:12" x14ac:dyDescent="0.25">
      <c r="A5" s="1" t="s">
        <v>31</v>
      </c>
      <c r="B5" s="1" t="s">
        <v>32</v>
      </c>
      <c r="C5" s="1" t="s">
        <v>30</v>
      </c>
      <c r="D5" s="13">
        <v>37342</v>
      </c>
      <c r="E5" s="1" t="s">
        <v>22</v>
      </c>
      <c r="F5" s="1" t="s">
        <v>23</v>
      </c>
      <c r="G5" s="15">
        <v>749998</v>
      </c>
      <c r="H5" s="15">
        <v>8479</v>
      </c>
      <c r="I5" s="15">
        <v>3487</v>
      </c>
      <c r="J5" s="15">
        <v>3487</v>
      </c>
      <c r="K5" s="15">
        <v>9374</v>
      </c>
      <c r="L5" s="15">
        <v>756077</v>
      </c>
    </row>
    <row r="6" spans="1:12" x14ac:dyDescent="0.25">
      <c r="A6" s="1" t="s">
        <v>27</v>
      </c>
      <c r="B6" s="1" t="s">
        <v>28</v>
      </c>
      <c r="C6" s="1" t="s">
        <v>29</v>
      </c>
      <c r="D6" s="13">
        <v>37342</v>
      </c>
      <c r="E6" s="1" t="s">
        <v>22</v>
      </c>
      <c r="F6" s="1" t="s">
        <v>23</v>
      </c>
      <c r="G6" s="15">
        <v>749998</v>
      </c>
      <c r="H6" s="15">
        <v>8479</v>
      </c>
      <c r="I6" s="15">
        <v>3487</v>
      </c>
      <c r="J6" s="15">
        <v>3487</v>
      </c>
      <c r="K6" s="15">
        <v>9374</v>
      </c>
      <c r="L6" s="15">
        <v>756077</v>
      </c>
    </row>
    <row r="7" spans="1:12" x14ac:dyDescent="0.25">
      <c r="A7" s="1" t="s">
        <v>25</v>
      </c>
      <c r="B7" s="1" t="s">
        <v>26</v>
      </c>
      <c r="C7" s="1" t="s">
        <v>24</v>
      </c>
      <c r="D7" s="13">
        <v>38058</v>
      </c>
      <c r="E7" s="1" t="s">
        <v>22</v>
      </c>
      <c r="F7" s="1" t="s">
        <v>17</v>
      </c>
      <c r="G7" s="15">
        <v>60000</v>
      </c>
      <c r="H7" s="15">
        <v>3000</v>
      </c>
      <c r="I7" s="15">
        <v>6000</v>
      </c>
      <c r="J7" s="15">
        <v>5000</v>
      </c>
      <c r="K7" s="15">
        <v>4000</v>
      </c>
      <c r="L7" s="15">
        <v>70000</v>
      </c>
    </row>
    <row r="8" spans="1:12" x14ac:dyDescent="0.25">
      <c r="A8" s="1" t="s">
        <v>18</v>
      </c>
      <c r="B8" s="1" t="s">
        <v>19</v>
      </c>
      <c r="C8" s="1" t="s">
        <v>20</v>
      </c>
      <c r="D8" s="13" t="s">
        <v>21</v>
      </c>
      <c r="E8" s="1" t="s">
        <v>22</v>
      </c>
      <c r="F8" s="1" t="s">
        <v>23</v>
      </c>
      <c r="G8" s="15">
        <v>50000</v>
      </c>
      <c r="H8" s="15">
        <v>12000</v>
      </c>
      <c r="I8" s="15">
        <v>7000</v>
      </c>
      <c r="J8" s="15">
        <v>15000</v>
      </c>
      <c r="K8" s="15">
        <v>9000</v>
      </c>
      <c r="L8" s="15">
        <v>75000</v>
      </c>
    </row>
    <row r="9" spans="1:12" x14ac:dyDescent="0.25">
      <c r="A9" s="1" t="s">
        <v>14</v>
      </c>
      <c r="B9" s="1" t="s">
        <v>15</v>
      </c>
      <c r="C9" s="1" t="s">
        <v>16</v>
      </c>
      <c r="D9" s="13">
        <v>45996</v>
      </c>
      <c r="E9" s="1" t="s">
        <v>13</v>
      </c>
      <c r="F9" s="1" t="s">
        <v>17</v>
      </c>
      <c r="G9" s="15">
        <v>40000</v>
      </c>
      <c r="H9" s="15">
        <v>15000</v>
      </c>
      <c r="I9" s="15">
        <v>6000</v>
      </c>
      <c r="J9" s="15">
        <v>6000</v>
      </c>
      <c r="K9" s="15">
        <v>10000</v>
      </c>
      <c r="L9" s="15">
        <v>57000</v>
      </c>
    </row>
    <row r="10" spans="1:12" x14ac:dyDescent="0.25">
      <c r="A10"/>
      <c r="B10"/>
      <c r="C10"/>
      <c r="D10"/>
      <c r="E10"/>
      <c r="F10"/>
      <c r="G10"/>
      <c r="H10"/>
      <c r="I10"/>
      <c r="J10"/>
      <c r="K10"/>
      <c r="L10"/>
    </row>
  </sheetData>
  <sheetProtection algorithmName="SHA-512" hashValue="o4YwEvaRfb1ZDgXGeSdNhSzpl7YQDavgNUUfF3kF+1K1vvdfjkE6xh4W1gJkTWgBVXaUzEUmqzDAbmAOO8WJXA==" saltValue="eXa+o+/7t5F8Ef7iwPBDw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Ajay saroha</dc:creator>
  <cp:lastModifiedBy>Ajay saroha</cp:lastModifiedBy>
  <dcterms:created xsi:type="dcterms:W3CDTF">2025-04-25T11:17:21Z</dcterms:created>
  <dcterms:modified xsi:type="dcterms:W3CDTF">2025-04-25T13:13:23Z</dcterms:modified>
</cp:coreProperties>
</file>